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735" tabRatio="600" firstSheet="0" activeTab="0" autoFilterDateGrouping="1"/>
  </bookViews>
  <sheets>
    <sheet xmlns:r="http://schemas.openxmlformats.org/officeDocument/2006/relationships" name="grade 3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2" borderId="1" applyAlignment="1" pivotButton="0" quotePrefix="0" xfId="0">
      <alignment wrapText="1"/>
    </xf>
    <xf numFmtId="0" fontId="0" fillId="0" borderId="2" pivotButton="0" quotePrefix="0" xfId="0"/>
    <xf numFmtId="0" fontId="0" fillId="2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83"/>
  <sheetViews>
    <sheetView tabSelected="1" topLeftCell="B1" zoomScale="130" zoomScaleNormal="130" workbookViewId="0">
      <pane ySplit="1" topLeftCell="A2" activePane="bottomLeft" state="frozen"/>
      <selection activeCell="B1" sqref="B1"/>
      <selection pane="bottomLeft" activeCell="M3" sqref="M3"/>
    </sheetView>
  </sheetViews>
  <sheetFormatPr baseColWidth="8" defaultRowHeight="15"/>
  <cols>
    <col width="10.7109375" customWidth="1" min="2" max="2"/>
    <col width="20.42578125" customWidth="1" min="3" max="3"/>
    <col width="4.28515625" customWidth="1" min="4" max="4"/>
    <col width="5" customWidth="1" min="5" max="5"/>
    <col width="7" customWidth="1" min="6" max="6"/>
    <col width="7.28515625" customWidth="1" min="7" max="7"/>
    <col width="6.28515625" customWidth="1" min="8" max="8"/>
    <col width="6.42578125" customWidth="1" min="9" max="9"/>
    <col width="7.28515625" customWidth="1" min="10" max="10"/>
    <col width="10.5703125" customWidth="1" min="11" max="11"/>
    <col width="9.85546875" customWidth="1" min="12" max="12"/>
  </cols>
  <sheetData>
    <row r="1" ht="45" customHeight="1">
      <c r="B1" s="2" t="inlineStr">
        <is>
          <t>ተ.ቁ</t>
        </is>
      </c>
      <c r="C1" s="2" t="inlineStr">
        <is>
          <t>ስም ዝርዝር</t>
        </is>
      </c>
      <c r="D1" s="2" t="inlineStr">
        <is>
          <t>ጾታ</t>
        </is>
      </c>
      <c r="E1" s="2" t="inlineStr">
        <is>
          <t>ዕድሜ</t>
        </is>
      </c>
      <c r="F1" s="8" t="inlineStr">
        <is>
          <t>የትምህርት ዓይነት</t>
        </is>
      </c>
      <c r="G1" s="9" t="n"/>
      <c r="H1" s="9" t="n"/>
      <c r="I1" s="9" t="n"/>
      <c r="J1" s="10" t="n"/>
      <c r="K1" s="6" t="inlineStr">
        <is>
          <t>አጠቃላይ ውጤት ድምር</t>
        </is>
      </c>
      <c r="L1" s="2" t="inlineStr">
        <is>
          <t>አማካኝ ነጥብ</t>
        </is>
      </c>
      <c r="M1" s="2" t="inlineStr">
        <is>
          <t>ደረጃ</t>
        </is>
      </c>
    </row>
    <row r="2">
      <c r="B2" s="1" t="n"/>
      <c r="C2" s="1" t="n"/>
      <c r="D2" s="1" t="n"/>
      <c r="E2" s="1" t="n"/>
      <c r="F2" s="3" t="inlineStr">
        <is>
          <t>መ/ዕ</t>
        </is>
      </c>
      <c r="G2" s="3" t="inlineStr">
        <is>
          <t>ቅ/መጻ</t>
        </is>
      </c>
      <c r="H2" s="3" t="inlineStr">
        <is>
          <t>ክ/ሥም</t>
        </is>
      </c>
      <c r="I2" s="3" t="inlineStr">
        <is>
          <t>ሥ/ቤክ</t>
        </is>
      </c>
      <c r="J2" s="3" t="inlineStr">
        <is>
          <t>ቤ/ክታ</t>
        </is>
      </c>
      <c r="K2" s="1" t="n"/>
      <c r="L2" s="1" t="n"/>
      <c r="M2" s="1" t="n"/>
    </row>
    <row r="3">
      <c r="B3" s="1" t="inlineStr">
        <is>
          <t xml:space="preserve">1.       </t>
        </is>
      </c>
      <c r="C3" s="4" t="inlineStr">
        <is>
          <t>ኤልዳና በላይ</t>
        </is>
      </c>
      <c r="D3" s="1" t="n"/>
      <c r="E3" s="1" t="n"/>
      <c r="F3" s="1" t="n">
        <v>18</v>
      </c>
      <c r="G3" s="1" t="n">
        <v>81</v>
      </c>
      <c r="H3" s="1" t="n">
        <v>68</v>
      </c>
      <c r="I3" s="1" t="n">
        <v>35</v>
      </c>
      <c r="J3" s="1" t="n"/>
      <c r="K3" s="1">
        <f>SUM(F3:J3)</f>
        <v/>
      </c>
      <c r="L3" s="1">
        <f>AVERAGE(F3:J3)</f>
        <v/>
      </c>
      <c r="M3" s="1">
        <f>RANK(K3,$K$3:$K$63,0)</f>
        <v/>
      </c>
    </row>
    <row r="4">
      <c r="B4" s="1" t="inlineStr">
        <is>
          <t xml:space="preserve">2.      </t>
        </is>
      </c>
      <c r="C4" s="4" t="inlineStr">
        <is>
          <t>ማህሌት ወንድይፍራው</t>
        </is>
      </c>
      <c r="D4" s="1" t="n"/>
      <c r="E4" s="1" t="n"/>
      <c r="F4" s="1" t="n">
        <v>81</v>
      </c>
      <c r="G4" s="1" t="n">
        <v>80</v>
      </c>
      <c r="H4" s="1" t="n">
        <v>92</v>
      </c>
      <c r="I4" s="1" t="n">
        <v>82</v>
      </c>
      <c r="J4" s="1" t="n">
        <v>72</v>
      </c>
      <c r="K4" s="1">
        <f>SUM(F4:J4)</f>
        <v/>
      </c>
      <c r="L4" s="1">
        <f>AVERAGE(F4:J4)</f>
        <v/>
      </c>
      <c r="M4" s="1">
        <f>RANK(K4,$K$3:$K$63,0)</f>
        <v/>
      </c>
    </row>
    <row r="5">
      <c r="B5" s="1" t="inlineStr">
        <is>
          <t xml:space="preserve">3.      </t>
        </is>
      </c>
      <c r="C5" s="4" t="inlineStr">
        <is>
          <t>ሳሙኤል ጌታቸው</t>
        </is>
      </c>
      <c r="D5" s="1" t="n"/>
      <c r="E5" s="1" t="n"/>
      <c r="F5" s="1" t="n">
        <v>52</v>
      </c>
      <c r="G5" s="1" t="n"/>
      <c r="H5" s="1" t="n"/>
      <c r="I5" s="1" t="n"/>
      <c r="J5" s="1" t="n"/>
      <c r="K5" s="1">
        <f>SUM(F5:J5)</f>
        <v/>
      </c>
      <c r="L5" s="1">
        <f>AVERAGE(F5:J5)</f>
        <v/>
      </c>
      <c r="M5" s="1">
        <f>RANK(K5,$K$3:$K$63,0)</f>
        <v/>
      </c>
    </row>
    <row r="6">
      <c r="B6" s="1" t="inlineStr">
        <is>
          <t xml:space="preserve">4.      </t>
        </is>
      </c>
      <c r="C6" s="4" t="inlineStr">
        <is>
          <t>ኤልያና ቅዱስ</t>
        </is>
      </c>
      <c r="D6" s="1" t="n"/>
      <c r="E6" s="1" t="n"/>
      <c r="F6" s="1" t="n"/>
      <c r="G6" s="1" t="n">
        <v>73</v>
      </c>
      <c r="H6" s="1" t="n"/>
      <c r="I6" s="1" t="n">
        <v>72</v>
      </c>
      <c r="J6" s="1" t="n">
        <v>84</v>
      </c>
      <c r="K6" s="1">
        <f>SUM(F6:J6)</f>
        <v/>
      </c>
      <c r="L6" s="1">
        <f>AVERAGE(F6:J6)</f>
        <v/>
      </c>
      <c r="M6" s="1">
        <f>RANK(K6,$K$3:$K$63,0)</f>
        <v/>
      </c>
    </row>
    <row r="7">
      <c r="B7" s="1" t="inlineStr">
        <is>
          <t xml:space="preserve">1.       </t>
        </is>
      </c>
      <c r="C7" s="4" t="inlineStr">
        <is>
          <t>ውዳሴ የአምላክ</t>
        </is>
      </c>
      <c r="D7" s="1" t="n"/>
      <c r="E7" s="1" t="n"/>
      <c r="F7" s="1" t="n">
        <v>91</v>
      </c>
      <c r="G7" s="1" t="n">
        <v>88</v>
      </c>
      <c r="H7" s="1" t="n">
        <v>98</v>
      </c>
      <c r="I7" s="1" t="n">
        <v>90</v>
      </c>
      <c r="J7" s="1" t="n">
        <v>89</v>
      </c>
      <c r="K7" s="1">
        <f>SUM(F7:J7)</f>
        <v/>
      </c>
      <c r="L7" s="1">
        <f>AVERAGE(F7:J7)</f>
        <v/>
      </c>
      <c r="M7" s="1">
        <f>RANK(K7,$K$3:$K$63,0)</f>
        <v/>
      </c>
    </row>
    <row r="8">
      <c r="B8" s="1" t="inlineStr">
        <is>
          <t xml:space="preserve">2.      </t>
        </is>
      </c>
      <c r="C8" s="4" t="inlineStr">
        <is>
          <t>ፍቅር ሙሉሰው</t>
        </is>
      </c>
      <c r="D8" s="1" t="n"/>
      <c r="E8" s="1" t="n"/>
      <c r="F8" s="1" t="n">
        <v>93</v>
      </c>
      <c r="G8" s="1" t="n">
        <v>109</v>
      </c>
      <c r="H8" s="1" t="n">
        <v>101</v>
      </c>
      <c r="I8" s="1" t="n">
        <v>103</v>
      </c>
      <c r="J8" s="1" t="n">
        <v>102</v>
      </c>
      <c r="K8" s="1">
        <f>SUM(F8:J8)</f>
        <v/>
      </c>
      <c r="L8" s="1">
        <f>AVERAGE(F8:J8)</f>
        <v/>
      </c>
      <c r="M8" s="1">
        <f>RANK(K8,$K$3:$K$63,0)</f>
        <v/>
      </c>
    </row>
    <row r="9">
      <c r="B9" s="1" t="inlineStr">
        <is>
          <t xml:space="preserve">3.      </t>
        </is>
      </c>
      <c r="C9" s="4" t="inlineStr">
        <is>
          <t xml:space="preserve">ሚኪያስ ወንድሜነህ </t>
        </is>
      </c>
      <c r="D9" s="1" t="n"/>
      <c r="E9" s="1" t="n"/>
      <c r="F9" s="1" t="n">
        <v>80</v>
      </c>
      <c r="G9" s="1" t="n">
        <v>89</v>
      </c>
      <c r="H9" s="1" t="n">
        <v>96</v>
      </c>
      <c r="I9" s="1" t="n">
        <v>71</v>
      </c>
      <c r="J9" s="1" t="n">
        <v>73</v>
      </c>
      <c r="K9" s="1">
        <f>SUM(F9:J9)</f>
        <v/>
      </c>
      <c r="L9" s="1">
        <f>AVERAGE(F9:J9)</f>
        <v/>
      </c>
      <c r="M9" s="1">
        <f>RANK(K9,$K$3:$K$63,0)</f>
        <v/>
      </c>
    </row>
    <row r="10">
      <c r="B10" s="1" t="inlineStr">
        <is>
          <t xml:space="preserve">4.      </t>
        </is>
      </c>
      <c r="C10" s="4" t="inlineStr">
        <is>
          <t>ዮናታን ታደሰ</t>
        </is>
      </c>
      <c r="D10" s="1" t="n"/>
      <c r="E10" s="1" t="n"/>
      <c r="F10" s="1" t="n">
        <v>88</v>
      </c>
      <c r="G10" s="1" t="n">
        <v>90</v>
      </c>
      <c r="H10" s="1" t="n">
        <v>56</v>
      </c>
      <c r="I10" s="1" t="n">
        <v>80</v>
      </c>
      <c r="J10" s="1" t="n">
        <v>89</v>
      </c>
      <c r="K10" s="1">
        <f>SUM(F10:J10)</f>
        <v/>
      </c>
      <c r="L10" s="1">
        <f>AVERAGE(F10:J10)</f>
        <v/>
      </c>
      <c r="M10" s="1">
        <f>RANK(K10,$K$3:$K$63,0)</f>
        <v/>
      </c>
    </row>
    <row r="11">
      <c r="B11" s="1" t="inlineStr">
        <is>
          <t xml:space="preserve">1.       </t>
        </is>
      </c>
      <c r="C11" s="4" t="inlineStr">
        <is>
          <t>መሰረት አንጋው</t>
        </is>
      </c>
      <c r="D11" s="1" t="n"/>
      <c r="E11" s="1" t="n"/>
      <c r="F11" s="1" t="n">
        <v>95</v>
      </c>
      <c r="G11" s="1" t="n">
        <v>100</v>
      </c>
      <c r="H11" s="1" t="n">
        <v>98</v>
      </c>
      <c r="I11" s="1" t="n">
        <v>90</v>
      </c>
      <c r="J11" s="1" t="n">
        <v>79</v>
      </c>
      <c r="K11" s="1">
        <f>SUM(F11:J11)</f>
        <v/>
      </c>
      <c r="L11" s="1">
        <f>AVERAGE(F11:J11)</f>
        <v/>
      </c>
      <c r="M11" s="1">
        <f>RANK(K11,$K$3:$K$63,0)</f>
        <v/>
      </c>
    </row>
    <row r="12">
      <c r="B12" s="1" t="inlineStr">
        <is>
          <t xml:space="preserve">2.      </t>
        </is>
      </c>
      <c r="C12" s="4" t="inlineStr">
        <is>
          <t>የአብስራ መክብብ</t>
        </is>
      </c>
      <c r="D12" s="1" t="n"/>
      <c r="E12" s="1" t="n"/>
      <c r="F12" s="1" t="n">
        <v>69</v>
      </c>
      <c r="G12" s="1" t="n">
        <v>71</v>
      </c>
      <c r="H12" s="1" t="n">
        <v>85</v>
      </c>
      <c r="I12" s="1" t="n">
        <v>55</v>
      </c>
      <c r="J12" s="1" t="n">
        <v>69</v>
      </c>
      <c r="K12" s="1">
        <f>SUM(F12:J12)</f>
        <v/>
      </c>
      <c r="L12" s="1">
        <f>AVERAGE(F12:J12)</f>
        <v/>
      </c>
      <c r="M12" s="1">
        <f>RANK(K12,$K$3:$K$63,0)</f>
        <v/>
      </c>
    </row>
    <row r="13">
      <c r="B13" s="1" t="inlineStr">
        <is>
          <t xml:space="preserve">4.      </t>
        </is>
      </c>
      <c r="C13" s="4" t="inlineStr">
        <is>
          <t>ቃልኪዳን አለሜ</t>
        </is>
      </c>
      <c r="D13" s="1" t="n"/>
      <c r="E13" s="1" t="n"/>
      <c r="F13" s="1" t="n">
        <v>79</v>
      </c>
      <c r="G13" s="1" t="n">
        <v>90</v>
      </c>
      <c r="H13" s="1" t="n">
        <v>99</v>
      </c>
      <c r="I13" s="1" t="n">
        <v>80</v>
      </c>
      <c r="J13" s="1" t="n">
        <v>83</v>
      </c>
      <c r="K13" s="1">
        <f>SUM(F13:J13)</f>
        <v/>
      </c>
      <c r="L13" s="1">
        <f>AVERAGE(F13:J13)</f>
        <v/>
      </c>
      <c r="M13" s="1">
        <f>RANK(K13,$K$3:$K$63,0)</f>
        <v/>
      </c>
    </row>
    <row r="14">
      <c r="B14" s="1" t="inlineStr">
        <is>
          <t xml:space="preserve">1.       </t>
        </is>
      </c>
      <c r="C14" s="4" t="inlineStr">
        <is>
          <t>ዘሚካኤል ጸጋዬ</t>
        </is>
      </c>
      <c r="D14" s="1" t="n"/>
      <c r="E14" s="1" t="n"/>
      <c r="F14" s="1" t="n"/>
      <c r="G14" s="1" t="n"/>
      <c r="H14" s="1" t="n">
        <v>67</v>
      </c>
      <c r="I14" s="1" t="n"/>
      <c r="J14" s="1" t="n"/>
      <c r="K14" s="1">
        <f>SUM(F14:J14)</f>
        <v/>
      </c>
      <c r="L14" s="1">
        <f>AVERAGE(F14:J14)</f>
        <v/>
      </c>
      <c r="M14" s="1">
        <f>RANK(K14,$K$3:$K$63,0)</f>
        <v/>
      </c>
    </row>
    <row r="15">
      <c r="B15" s="1" t="inlineStr">
        <is>
          <t xml:space="preserve">2.      </t>
        </is>
      </c>
      <c r="C15" s="4" t="inlineStr">
        <is>
          <t>መክሊት አበበ</t>
        </is>
      </c>
      <c r="D15" s="1" t="n"/>
      <c r="E15" s="1" t="n"/>
      <c r="F15" s="1" t="n">
        <v>79</v>
      </c>
      <c r="G15" s="1" t="n">
        <v>85</v>
      </c>
      <c r="H15" s="1" t="n">
        <v>102</v>
      </c>
      <c r="I15" s="1" t="n">
        <v>72</v>
      </c>
      <c r="J15" s="1" t="n">
        <v>68</v>
      </c>
      <c r="K15" s="1">
        <f>SUM(F15:J15)</f>
        <v/>
      </c>
      <c r="L15" s="1">
        <f>AVERAGE(F15:J15)</f>
        <v/>
      </c>
      <c r="M15" s="1">
        <f>RANK(K15,$K$3:$K$63,0)</f>
        <v/>
      </c>
    </row>
    <row r="16">
      <c r="B16" s="1" t="inlineStr">
        <is>
          <t xml:space="preserve">3.      </t>
        </is>
      </c>
      <c r="C16" s="4" t="inlineStr">
        <is>
          <t xml:space="preserve">የማርያም አሰፋ </t>
        </is>
      </c>
      <c r="D16" s="1" t="n"/>
      <c r="E16" s="1" t="n"/>
      <c r="F16" s="1" t="n">
        <v>67</v>
      </c>
      <c r="G16" s="1" t="n">
        <v>60</v>
      </c>
      <c r="H16" s="1" t="n">
        <v>68</v>
      </c>
      <c r="I16" s="1" t="n"/>
      <c r="J16" s="1" t="n">
        <v>20</v>
      </c>
      <c r="K16" s="1">
        <f>SUM(F16:J16)</f>
        <v/>
      </c>
      <c r="L16" s="1">
        <f>AVERAGE(F16:J16)</f>
        <v/>
      </c>
      <c r="M16" s="1">
        <f>RANK(K16,$K$3:$K$63,0)</f>
        <v/>
      </c>
      <c r="O16" t="inlineStr">
        <is>
          <t xml:space="preserve">   </t>
        </is>
      </c>
    </row>
    <row r="17">
      <c r="B17" s="1" t="inlineStr">
        <is>
          <t xml:space="preserve">4.      </t>
        </is>
      </c>
      <c r="C17" s="4" t="inlineStr">
        <is>
          <t>ብሌን አይቸው</t>
        </is>
      </c>
      <c r="D17" s="1" t="n"/>
      <c r="E17" s="1" t="n"/>
      <c r="F17" s="1" t="n">
        <v>98</v>
      </c>
      <c r="G17" s="1" t="n">
        <v>92</v>
      </c>
      <c r="H17" s="1" t="n">
        <v>101</v>
      </c>
      <c r="I17" s="1" t="n">
        <v>88</v>
      </c>
      <c r="J17" s="1" t="n">
        <v>93</v>
      </c>
      <c r="K17" s="1">
        <f>SUM(F17:J17)</f>
        <v/>
      </c>
      <c r="L17" s="1">
        <f>AVERAGE(F17:J17)</f>
        <v/>
      </c>
      <c r="M17" s="1">
        <f>RANK(K17,$K$3:$K$63,0)</f>
        <v/>
      </c>
    </row>
    <row r="18">
      <c r="B18" s="1" t="inlineStr">
        <is>
          <t xml:space="preserve">2.      </t>
        </is>
      </c>
      <c r="C18" s="4" t="inlineStr">
        <is>
          <t xml:space="preserve">ልዕልና ሀብታሙ </t>
        </is>
      </c>
      <c r="D18" s="1" t="n"/>
      <c r="E18" s="1" t="n"/>
      <c r="F18" s="1" t="n">
        <v>71</v>
      </c>
      <c r="G18" s="1" t="n">
        <v>67</v>
      </c>
      <c r="H18" s="1" t="n">
        <v>94</v>
      </c>
      <c r="I18" s="1" t="n">
        <v>75</v>
      </c>
      <c r="J18" s="1" t="n">
        <v>74</v>
      </c>
      <c r="K18" s="1">
        <f>SUM(F18:J18)</f>
        <v/>
      </c>
      <c r="L18" s="1">
        <f>AVERAGE(F18:J18)</f>
        <v/>
      </c>
      <c r="M18" s="1">
        <f>RANK(K18,$K$3:$K$63,0)</f>
        <v/>
      </c>
    </row>
    <row r="19">
      <c r="B19" s="1" t="inlineStr">
        <is>
          <t xml:space="preserve">3.      </t>
        </is>
      </c>
      <c r="C19" s="4" t="inlineStr">
        <is>
          <t>ኤፍረታ መሀሪ</t>
        </is>
      </c>
      <c r="D19" s="1" t="n"/>
      <c r="E19" s="1" t="n"/>
      <c r="F19" s="1" t="n">
        <v>96</v>
      </c>
      <c r="G19" s="1" t="n">
        <v>97</v>
      </c>
      <c r="H19" s="1" t="n">
        <v>101</v>
      </c>
      <c r="I19" s="1" t="n">
        <v>90</v>
      </c>
      <c r="J19" s="1" t="n">
        <v>87</v>
      </c>
      <c r="K19" s="1">
        <f>SUM(F19:J19)</f>
        <v/>
      </c>
      <c r="L19" s="1">
        <f>AVERAGE(F19:J19)</f>
        <v/>
      </c>
      <c r="M19" s="1">
        <f>RANK(K19,$K$3:$K$63,0)</f>
        <v/>
      </c>
    </row>
    <row r="20">
      <c r="B20" s="1" t="inlineStr">
        <is>
          <t xml:space="preserve">4.      </t>
        </is>
      </c>
      <c r="C20" s="4" t="inlineStr">
        <is>
          <t>አቤኔዘር ፍቃዱ</t>
        </is>
      </c>
      <c r="D20" s="1" t="n"/>
      <c r="E20" s="1" t="n"/>
      <c r="F20" s="1" t="n">
        <v>79</v>
      </c>
      <c r="G20" s="1" t="n">
        <v>75</v>
      </c>
      <c r="H20" s="1" t="n">
        <v>97</v>
      </c>
      <c r="I20" s="7" t="n">
        <v>66</v>
      </c>
      <c r="J20" s="1" t="n">
        <v>75</v>
      </c>
      <c r="K20" s="1">
        <f>SUM(F20:J20)</f>
        <v/>
      </c>
      <c r="L20" s="1">
        <f>AVERAGE(F20:J20)</f>
        <v/>
      </c>
      <c r="M20" s="1">
        <f>RANK(K20,$K$3:$K$63,0)</f>
        <v/>
      </c>
    </row>
    <row r="21">
      <c r="B21" s="1" t="inlineStr">
        <is>
          <t xml:space="preserve">1.       </t>
        </is>
      </c>
      <c r="C21" s="4" t="inlineStr">
        <is>
          <t>ኪዳነ ማርያም</t>
        </is>
      </c>
      <c r="D21" s="1" t="n"/>
      <c r="E21" s="1" t="n"/>
      <c r="F21" s="1" t="n">
        <v>79</v>
      </c>
      <c r="G21" s="1" t="n">
        <v>8</v>
      </c>
      <c r="H21" s="1" t="n">
        <v>92</v>
      </c>
      <c r="I21" s="1" t="n">
        <v>11</v>
      </c>
      <c r="J21" s="1" t="n"/>
      <c r="K21" s="1">
        <f>SUM(F21:J21)</f>
        <v/>
      </c>
      <c r="L21" s="1">
        <f>AVERAGE(F21:J21)</f>
        <v/>
      </c>
      <c r="M21" s="1">
        <f>RANK(K21,$K$3:$K$63,0)</f>
        <v/>
      </c>
    </row>
    <row r="22">
      <c r="B22" s="1" t="inlineStr">
        <is>
          <t xml:space="preserve">2.      </t>
        </is>
      </c>
      <c r="C22" s="4" t="inlineStr">
        <is>
          <t xml:space="preserve">መክሊት አብርሀም </t>
        </is>
      </c>
      <c r="D22" s="1" t="n"/>
      <c r="E22" s="1" t="n"/>
      <c r="F22" s="1" t="n"/>
      <c r="G22" s="1" t="n"/>
      <c r="H22" s="1" t="n">
        <v>98</v>
      </c>
      <c r="I22" s="1" t="n"/>
      <c r="J22" s="1" t="n"/>
      <c r="K22" s="1">
        <f>SUM(F22:J22)</f>
        <v/>
      </c>
      <c r="L22" s="1">
        <f>AVERAGE(F22:J22)</f>
        <v/>
      </c>
      <c r="M22" s="1">
        <f>RANK(K22,$K$3:$K$63,0)</f>
        <v/>
      </c>
    </row>
    <row r="23">
      <c r="B23" s="1" t="inlineStr">
        <is>
          <t xml:space="preserve">3.      </t>
        </is>
      </c>
      <c r="C23" s="4" t="inlineStr">
        <is>
          <t xml:space="preserve">በረከት አብርሀም </t>
        </is>
      </c>
      <c r="D23" s="1" t="n"/>
      <c r="E23" s="1" t="n"/>
      <c r="F23" s="1" t="n"/>
      <c r="G23" s="1" t="n"/>
      <c r="H23" s="1" t="n">
        <v>99</v>
      </c>
      <c r="I23" s="1" t="n"/>
      <c r="J23" s="1" t="n"/>
      <c r="K23" s="1">
        <f>SUM(F23:J23)</f>
        <v/>
      </c>
      <c r="L23" s="1">
        <f>AVERAGE(F23:J23)</f>
        <v/>
      </c>
      <c r="M23" s="1">
        <f>RANK(K23,$K$3:$K$63,0)</f>
        <v/>
      </c>
    </row>
    <row r="24" ht="15.75" customHeight="1">
      <c r="B24" s="1" t="inlineStr">
        <is>
          <t xml:space="preserve">4.      </t>
        </is>
      </c>
      <c r="C24" s="4" t="inlineStr">
        <is>
          <t>አሸናፊ ሲሳይ</t>
        </is>
      </c>
      <c r="D24" s="1" t="n"/>
      <c r="E24" s="1" t="n"/>
      <c r="F24" s="1" t="n">
        <v>81</v>
      </c>
      <c r="G24" s="1" t="n">
        <v>91</v>
      </c>
      <c r="H24" s="1" t="n">
        <v>100</v>
      </c>
      <c r="I24" s="1" t="n">
        <v>83</v>
      </c>
      <c r="J24" s="1" t="n">
        <v>80</v>
      </c>
      <c r="K24" s="1">
        <f>SUM(F24:J24)</f>
        <v/>
      </c>
      <c r="L24" s="1">
        <f>AVERAGE(F24:J24)</f>
        <v/>
      </c>
      <c r="M24" s="1">
        <f>RANK(K24,$K$3:$K$63,0)</f>
        <v/>
      </c>
    </row>
    <row r="25">
      <c r="B25" s="1" t="inlineStr">
        <is>
          <t xml:space="preserve">1.       </t>
        </is>
      </c>
      <c r="C25" s="4" t="inlineStr">
        <is>
          <t>ሄመን አስናቀ</t>
        </is>
      </c>
      <c r="D25" s="1" t="n"/>
      <c r="E25" s="1" t="n"/>
      <c r="F25" s="1" t="n">
        <v>99</v>
      </c>
      <c r="G25" s="1" t="n">
        <v>95</v>
      </c>
      <c r="H25" s="1" t="n">
        <v>97</v>
      </c>
      <c r="I25" s="1" t="n">
        <v>95</v>
      </c>
      <c r="J25" s="1" t="n">
        <v>85</v>
      </c>
      <c r="K25" s="1">
        <f>SUM(F25:J25)</f>
        <v/>
      </c>
      <c r="L25" s="1">
        <f>AVERAGE(F25:J25)</f>
        <v/>
      </c>
      <c r="M25" s="1">
        <f>RANK(K25,$K$3:$K$63,0)</f>
        <v/>
      </c>
    </row>
    <row r="26">
      <c r="B26" s="1" t="inlineStr">
        <is>
          <t xml:space="preserve">2.      </t>
        </is>
      </c>
      <c r="C26" s="4" t="inlineStr">
        <is>
          <t>ኤፍራታ መስፍን</t>
        </is>
      </c>
      <c r="D26" s="1" t="n"/>
      <c r="E26" s="1" t="n"/>
      <c r="F26" s="1" t="n">
        <v>59</v>
      </c>
      <c r="G26" s="1" t="n"/>
      <c r="H26" s="1" t="n">
        <v>100</v>
      </c>
      <c r="I26" s="1" t="n">
        <v>25</v>
      </c>
      <c r="J26" s="1" t="n"/>
      <c r="K26" s="1">
        <f>SUM(F26:J26)</f>
        <v/>
      </c>
      <c r="L26" s="1">
        <f>AVERAGE(F26:J26)</f>
        <v/>
      </c>
      <c r="M26" s="1">
        <f>RANK(K26,$K$3:$K$63,0)</f>
        <v/>
      </c>
    </row>
    <row r="27">
      <c r="B27" s="1" t="inlineStr">
        <is>
          <t xml:space="preserve">3.      </t>
        </is>
      </c>
      <c r="C27" s="4" t="inlineStr">
        <is>
          <t>በእምነት ሙላቱ</t>
        </is>
      </c>
      <c r="D27" s="1" t="n"/>
      <c r="E27" s="1" t="n"/>
      <c r="F27" s="1" t="n">
        <v>92</v>
      </c>
      <c r="G27" s="1" t="n">
        <v>75</v>
      </c>
      <c r="H27" s="1" t="n">
        <v>101</v>
      </c>
      <c r="I27" s="1" t="n">
        <v>78</v>
      </c>
      <c r="J27" s="1" t="n">
        <v>73</v>
      </c>
      <c r="K27" s="1">
        <f>SUM(F27:J27)</f>
        <v/>
      </c>
      <c r="L27" s="1">
        <f>AVERAGE(F27:J27)</f>
        <v/>
      </c>
      <c r="M27" s="1">
        <f>RANK(K27,$K$3:$K$63,0)</f>
        <v/>
      </c>
    </row>
    <row r="28">
      <c r="B28" s="1" t="inlineStr">
        <is>
          <t xml:space="preserve">1.       </t>
        </is>
      </c>
      <c r="C28" s="4" t="inlineStr">
        <is>
          <t>ቢታንያ ትዕግስቱ</t>
        </is>
      </c>
      <c r="D28" s="1" t="n"/>
      <c r="E28" s="1" t="n"/>
      <c r="F28" s="1" t="n">
        <v>92</v>
      </c>
      <c r="G28" s="1" t="n">
        <v>99</v>
      </c>
      <c r="H28" s="1" t="n">
        <v>99</v>
      </c>
      <c r="I28" s="1" t="n">
        <v>95</v>
      </c>
      <c r="J28" s="1" t="n">
        <v>90</v>
      </c>
      <c r="K28" s="1">
        <f>SUM(F28:J28)</f>
        <v/>
      </c>
      <c r="L28" s="1">
        <f>AVERAGE(F28:J28)</f>
        <v/>
      </c>
      <c r="M28" s="1">
        <f>RANK(K28,$K$3:$K$63,0)</f>
        <v/>
      </c>
    </row>
    <row r="29">
      <c r="B29" s="1" t="inlineStr">
        <is>
          <t xml:space="preserve">2.      </t>
        </is>
      </c>
      <c r="C29" s="4" t="inlineStr">
        <is>
          <t>አምነን ትዕግስቱ</t>
        </is>
      </c>
      <c r="D29" s="1" t="n"/>
      <c r="E29" s="1" t="n"/>
      <c r="F29" s="1" t="n">
        <v>89</v>
      </c>
      <c r="G29" s="1" t="n">
        <v>98</v>
      </c>
      <c r="H29" s="1" t="n">
        <v>98</v>
      </c>
      <c r="I29" s="1" t="n">
        <v>92</v>
      </c>
      <c r="J29" s="1" t="n">
        <v>80</v>
      </c>
      <c r="K29" s="1">
        <f>SUM(F29:J29)</f>
        <v/>
      </c>
      <c r="L29" s="1">
        <f>AVERAGE(F29:J29)</f>
        <v/>
      </c>
      <c r="M29" s="1">
        <f>RANK(K29,$K$3:$K$63,0)</f>
        <v/>
      </c>
    </row>
    <row r="30">
      <c r="B30" s="1" t="inlineStr">
        <is>
          <t xml:space="preserve">4.      </t>
        </is>
      </c>
      <c r="C30" s="4" t="inlineStr">
        <is>
          <t xml:space="preserve">ሚካኤል ሙሉቀን </t>
        </is>
      </c>
      <c r="D30" s="1" t="n"/>
      <c r="E30" s="1" t="n"/>
      <c r="F30" s="1" t="n">
        <v>74</v>
      </c>
      <c r="G30" s="1" t="n"/>
      <c r="H30" s="1" t="n">
        <v>94</v>
      </c>
      <c r="I30" s="1" t="n"/>
      <c r="J30" s="1" t="n"/>
      <c r="K30" s="1">
        <f>SUM(F30:J30)</f>
        <v/>
      </c>
      <c r="L30" s="1">
        <f>AVERAGE(F30:J30)</f>
        <v/>
      </c>
      <c r="M30" s="1">
        <f>RANK(K30,$K$3:$K$63,0)</f>
        <v/>
      </c>
    </row>
    <row r="31">
      <c r="B31" s="1" t="inlineStr">
        <is>
          <t xml:space="preserve">2.      </t>
        </is>
      </c>
      <c r="C31" s="4" t="inlineStr">
        <is>
          <t xml:space="preserve">አፎሚያ ዘመን </t>
        </is>
      </c>
      <c r="D31" s="1" t="n"/>
      <c r="E31" s="1" t="n"/>
      <c r="F31" s="1" t="n">
        <v>89</v>
      </c>
      <c r="G31" s="1" t="n">
        <v>96</v>
      </c>
      <c r="H31" s="1" t="n">
        <v>100</v>
      </c>
      <c r="I31" s="1" t="n">
        <v>82</v>
      </c>
      <c r="J31" s="1" t="n">
        <v>99</v>
      </c>
      <c r="K31" s="1">
        <f>SUM(F31:J31)</f>
        <v/>
      </c>
      <c r="L31" s="1">
        <f>AVERAGE(F31:J31)</f>
        <v/>
      </c>
      <c r="M31" s="1">
        <f>RANK(K31,$K$3:$K$63,0)</f>
        <v/>
      </c>
    </row>
    <row r="32">
      <c r="B32" s="1" t="inlineStr">
        <is>
          <t xml:space="preserve">3.      </t>
        </is>
      </c>
      <c r="C32" s="4" t="inlineStr">
        <is>
          <t xml:space="preserve">ሚኪያስ ቢንያም </t>
        </is>
      </c>
      <c r="D32" s="1" t="n"/>
      <c r="E32" s="1" t="n"/>
      <c r="F32" s="1" t="n">
        <v>89</v>
      </c>
      <c r="G32" s="1" t="n">
        <v>93</v>
      </c>
      <c r="H32" s="1" t="n">
        <v>96</v>
      </c>
      <c r="I32" s="1" t="n">
        <v>65</v>
      </c>
      <c r="J32" s="1" t="n">
        <v>78</v>
      </c>
      <c r="K32" s="1">
        <f>SUM(F32:J32)</f>
        <v/>
      </c>
      <c r="L32" s="1">
        <f>AVERAGE(F32:J32)</f>
        <v/>
      </c>
      <c r="M32" s="1">
        <f>RANK(K32,$K$3:$K$63,0)</f>
        <v/>
      </c>
    </row>
    <row r="33">
      <c r="B33" s="1" t="inlineStr">
        <is>
          <t xml:space="preserve">1.       </t>
        </is>
      </c>
      <c r="C33" s="4" t="inlineStr">
        <is>
          <t xml:space="preserve">አክሱማዊት ፍፁምብርሀን </t>
        </is>
      </c>
      <c r="D33" s="1" t="n"/>
      <c r="E33" s="1" t="n"/>
      <c r="F33" s="1" t="n">
        <v>97</v>
      </c>
      <c r="G33" s="1" t="n">
        <v>100</v>
      </c>
      <c r="H33" s="1" t="n">
        <v>99</v>
      </c>
      <c r="I33" s="1" t="n">
        <v>74</v>
      </c>
      <c r="J33" s="1" t="n">
        <v>96</v>
      </c>
      <c r="K33" s="1">
        <f>SUM(F33:J33)</f>
        <v/>
      </c>
      <c r="L33" s="1">
        <f>AVERAGE(F33:J33)</f>
        <v/>
      </c>
      <c r="M33" s="1">
        <f>RANK(K33,$K$3:$K$63,0)</f>
        <v/>
      </c>
    </row>
    <row r="34">
      <c r="B34" s="1" t="inlineStr">
        <is>
          <t xml:space="preserve">2.      </t>
        </is>
      </c>
      <c r="C34" s="4" t="inlineStr">
        <is>
          <t>መብሬ ወርቁ</t>
        </is>
      </c>
      <c r="D34" s="1" t="n"/>
      <c r="E34" s="1" t="n"/>
      <c r="F34" s="1" t="n"/>
      <c r="G34" s="1" t="n"/>
      <c r="H34" s="1" t="n"/>
      <c r="I34" s="1" t="n"/>
      <c r="J34" s="1" t="n">
        <v>20</v>
      </c>
      <c r="K34" s="1">
        <f>SUM(F34:J34)</f>
        <v/>
      </c>
      <c r="L34" s="1">
        <f>AVERAGE(F34:J34)</f>
        <v/>
      </c>
      <c r="M34" s="1">
        <f>RANK(K34,$K$3:$K$63,0)</f>
        <v/>
      </c>
    </row>
    <row r="35">
      <c r="B35" s="1" t="inlineStr">
        <is>
          <t xml:space="preserve">1.       </t>
        </is>
      </c>
      <c r="C35" s="4" t="inlineStr">
        <is>
          <t xml:space="preserve">ዮሴፍ ቴዎድሮስ </t>
        </is>
      </c>
      <c r="D35" s="1" t="n"/>
      <c r="E35" s="1" t="n"/>
      <c r="F35" s="1" t="n"/>
      <c r="G35" s="1" t="n"/>
      <c r="H35" s="1" t="n">
        <v>19</v>
      </c>
      <c r="I35" s="1" t="n"/>
      <c r="J35" s="1" t="n"/>
      <c r="K35" s="1">
        <f>SUM(F35:J35)</f>
        <v/>
      </c>
      <c r="L35" s="1">
        <f>AVERAGE(F35:J35)</f>
        <v/>
      </c>
      <c r="M35" s="1">
        <f>RANK(K35,$K$3:$K$63,0)</f>
        <v/>
      </c>
    </row>
    <row r="36">
      <c r="B36" s="1" t="inlineStr">
        <is>
          <t xml:space="preserve">2.      </t>
        </is>
      </c>
      <c r="C36" s="4" t="inlineStr">
        <is>
          <t xml:space="preserve">ህያብ ገ/መድኅን </t>
        </is>
      </c>
      <c r="D36" s="1" t="n"/>
      <c r="E36" s="1" t="n"/>
      <c r="F36" s="1" t="n">
        <v>92</v>
      </c>
      <c r="G36" s="1" t="n">
        <v>75</v>
      </c>
      <c r="H36" s="1" t="n">
        <v>96</v>
      </c>
      <c r="I36" s="1" t="n">
        <v>74</v>
      </c>
      <c r="J36" s="1" t="n">
        <v>66</v>
      </c>
      <c r="K36" s="1">
        <f>SUM(F36:J36)</f>
        <v/>
      </c>
      <c r="L36" s="1">
        <f>AVERAGE(F36:J36)</f>
        <v/>
      </c>
      <c r="M36" s="1">
        <f>RANK(K36,$K$3:$K$63,0)</f>
        <v/>
      </c>
    </row>
    <row r="37">
      <c r="B37" s="1" t="inlineStr">
        <is>
          <t xml:space="preserve">3.      </t>
        </is>
      </c>
      <c r="C37" s="4" t="inlineStr">
        <is>
          <t xml:space="preserve">አርሴማ እንግዳወርቅ </t>
        </is>
      </c>
      <c r="D37" s="1" t="n"/>
      <c r="E37" s="1" t="n"/>
      <c r="F37" s="1" t="n">
        <v>97</v>
      </c>
      <c r="G37" s="1" t="n">
        <v>102</v>
      </c>
      <c r="H37" s="1" t="n">
        <v>101</v>
      </c>
      <c r="I37" s="1" t="n">
        <v>94</v>
      </c>
      <c r="J37" s="1" t="n">
        <v>105</v>
      </c>
      <c r="K37" s="1">
        <f>SUM(F37:J37)</f>
        <v/>
      </c>
      <c r="L37" s="1">
        <f>AVERAGE(F37:J37)</f>
        <v/>
      </c>
      <c r="M37" s="1">
        <f>RANK(K37,$K$3:$K$63,0)</f>
        <v/>
      </c>
    </row>
    <row r="38">
      <c r="B38" s="1" t="inlineStr">
        <is>
          <t xml:space="preserve">4.      </t>
        </is>
      </c>
      <c r="C38" s="4" t="inlineStr">
        <is>
          <t>መሳይ ወርቁ</t>
        </is>
      </c>
      <c r="D38" s="1" t="n"/>
      <c r="E38" s="1" t="n"/>
      <c r="F38" s="1" t="n">
        <v>79</v>
      </c>
      <c r="G38" s="1" t="n"/>
      <c r="H38" s="1" t="n">
        <v>97</v>
      </c>
      <c r="I38" s="1" t="n"/>
      <c r="J38" s="1" t="n"/>
      <c r="K38" s="1">
        <f>SUM(F38:J38)</f>
        <v/>
      </c>
      <c r="L38" s="1">
        <f>AVERAGE(F38:J38)</f>
        <v/>
      </c>
      <c r="M38" s="1">
        <f>RANK(K38,$K$3:$K$63,0)</f>
        <v/>
      </c>
    </row>
    <row r="39">
      <c r="B39" s="1" t="inlineStr">
        <is>
          <t xml:space="preserve">1.       </t>
        </is>
      </c>
      <c r="C39" s="4" t="inlineStr">
        <is>
          <t xml:space="preserve">ኤልያና ቅዱስ </t>
        </is>
      </c>
      <c r="D39" s="1" t="n"/>
      <c r="E39" s="1" t="n"/>
      <c r="F39" s="1" t="n">
        <v>85</v>
      </c>
      <c r="G39" s="1" t="n"/>
      <c r="H39" s="1" t="n">
        <v>99</v>
      </c>
      <c r="I39" s="1" t="n"/>
      <c r="J39" s="1" t="n"/>
      <c r="K39" s="1">
        <f>SUM(F39:J39)</f>
        <v/>
      </c>
      <c r="L39" s="1">
        <f>AVERAGE(F39:J39)</f>
        <v/>
      </c>
      <c r="M39" s="1">
        <f>RANK(K39,$K$3:$K$63,0)</f>
        <v/>
      </c>
    </row>
    <row r="40">
      <c r="B40" s="1" t="inlineStr">
        <is>
          <t xml:space="preserve">2.      </t>
        </is>
      </c>
      <c r="C40" s="4" t="inlineStr">
        <is>
          <t xml:space="preserve">አርሴማ ነጋሽ </t>
        </is>
      </c>
      <c r="D40" s="1" t="n"/>
      <c r="E40" s="1" t="n"/>
      <c r="F40" s="1" t="n">
        <v>93</v>
      </c>
      <c r="G40" s="1" t="n">
        <v>83</v>
      </c>
      <c r="H40" s="1" t="n">
        <v>101</v>
      </c>
      <c r="I40" s="1" t="n">
        <v>85</v>
      </c>
      <c r="J40" s="1" t="n">
        <v>88</v>
      </c>
      <c r="K40" s="1">
        <f>SUM(F40:J40)</f>
        <v/>
      </c>
      <c r="L40" s="1">
        <f>AVERAGE(F40:J40)</f>
        <v/>
      </c>
      <c r="M40" s="1">
        <f>RANK(K40,$K$3:$K$63,0)</f>
        <v/>
      </c>
    </row>
    <row r="41">
      <c r="B41" s="1" t="inlineStr">
        <is>
          <t xml:space="preserve">3.      </t>
        </is>
      </c>
      <c r="C41" s="4" t="inlineStr">
        <is>
          <t xml:space="preserve">ህይወት ግርማ </t>
        </is>
      </c>
      <c r="D41" s="1" t="n"/>
      <c r="E41" s="1" t="n"/>
      <c r="F41" s="1" t="n">
        <v>97</v>
      </c>
      <c r="G41" s="1" t="n"/>
      <c r="H41" s="1" t="n"/>
      <c r="I41" s="1" t="n"/>
      <c r="J41" s="1" t="n"/>
      <c r="K41" s="1">
        <f>SUM(F41:J41)</f>
        <v/>
      </c>
      <c r="L41" s="1">
        <f>AVERAGE(F41:J41)</f>
        <v/>
      </c>
      <c r="M41" s="1">
        <f>RANK(K41,$K$3:$K$63,0)</f>
        <v/>
      </c>
    </row>
    <row r="42">
      <c r="B42" s="1" t="inlineStr">
        <is>
          <t xml:space="preserve">4.      </t>
        </is>
      </c>
      <c r="C42" s="4" t="inlineStr">
        <is>
          <t xml:space="preserve">ማኪባ በላይ </t>
        </is>
      </c>
      <c r="D42" s="1" t="n"/>
      <c r="E42" s="1" t="n"/>
      <c r="F42" s="1" t="n">
        <v>77</v>
      </c>
      <c r="G42" s="1" t="n">
        <v>83</v>
      </c>
      <c r="H42" s="1" t="n">
        <v>68</v>
      </c>
      <c r="I42" s="1" t="n">
        <v>17</v>
      </c>
      <c r="J42" s="1" t="n">
        <v>22</v>
      </c>
      <c r="K42" s="1">
        <f>SUM(F42:J42)</f>
        <v/>
      </c>
      <c r="L42" s="1">
        <f>AVERAGE(F42:J42)</f>
        <v/>
      </c>
      <c r="M42" s="1">
        <f>RANK(K42,$K$3:$K$63,0)</f>
        <v/>
      </c>
    </row>
    <row r="43">
      <c r="B43" s="1" t="inlineStr">
        <is>
          <t xml:space="preserve">1.       </t>
        </is>
      </c>
      <c r="C43" s="4" t="inlineStr">
        <is>
          <t>ዮሀናን አማኑኤል</t>
        </is>
      </c>
      <c r="D43" s="1" t="n"/>
      <c r="E43" s="1" t="n"/>
      <c r="F43" s="1" t="n">
        <v>91</v>
      </c>
      <c r="G43" s="1" t="n">
        <v>93</v>
      </c>
      <c r="H43" s="1" t="n"/>
      <c r="I43" s="1" t="n">
        <v>40</v>
      </c>
      <c r="J43" s="1" t="n">
        <v>77</v>
      </c>
      <c r="K43" s="1">
        <f>SUM(F43:J43)</f>
        <v/>
      </c>
      <c r="L43" s="1">
        <f>AVERAGE(F43:J43)</f>
        <v/>
      </c>
      <c r="M43" s="1">
        <f>RANK(K43,$K$3:$K$63,0)</f>
        <v/>
      </c>
    </row>
    <row r="44">
      <c r="B44" s="1" t="inlineStr">
        <is>
          <t xml:space="preserve">2.      </t>
        </is>
      </c>
      <c r="C44" s="4" t="inlineStr">
        <is>
          <t xml:space="preserve">ሎዛ ኤፍሬም </t>
        </is>
      </c>
      <c r="D44" s="1" t="n"/>
      <c r="E44" s="1" t="n"/>
      <c r="F44" s="1" t="n">
        <v>77</v>
      </c>
      <c r="G44" s="1" t="n"/>
      <c r="H44" s="1" t="n">
        <v>95</v>
      </c>
      <c r="I44" s="1" t="n"/>
      <c r="J44" s="1" t="n"/>
      <c r="K44" s="1">
        <f>SUM(F44:J44)</f>
        <v/>
      </c>
      <c r="L44" s="1">
        <f>AVERAGE(F44:J44)</f>
        <v/>
      </c>
      <c r="M44" s="1">
        <f>RANK(K44,$K$3:$K$63,0)</f>
        <v/>
      </c>
    </row>
    <row r="45">
      <c r="B45" s="1" t="inlineStr">
        <is>
          <t xml:space="preserve">3.      </t>
        </is>
      </c>
      <c r="C45" s="4" t="inlineStr">
        <is>
          <t>አፎሚያ ተስፋዬ</t>
        </is>
      </c>
      <c r="D45" s="1" t="n"/>
      <c r="E45" s="1" t="n"/>
      <c r="F45" s="1" t="n">
        <v>91</v>
      </c>
      <c r="G45" s="1" t="n">
        <v>38</v>
      </c>
      <c r="H45" s="1" t="n"/>
      <c r="I45" s="1" t="n"/>
      <c r="J45" s="1" t="n">
        <v>82</v>
      </c>
      <c r="K45" s="1">
        <f>SUM(F45:J45)</f>
        <v/>
      </c>
      <c r="L45" s="1">
        <f>AVERAGE(F45:J45)</f>
        <v/>
      </c>
      <c r="M45" s="1">
        <f>RANK(K45,$K$3:$K$63,0)</f>
        <v/>
      </c>
    </row>
    <row r="46">
      <c r="B46" s="1" t="inlineStr">
        <is>
          <t xml:space="preserve">4.      </t>
        </is>
      </c>
      <c r="C46" s="4" t="inlineStr">
        <is>
          <t xml:space="preserve">በጸሎት ዳዊት </t>
        </is>
      </c>
      <c r="D46" s="1" t="n"/>
      <c r="E46" s="1" t="n"/>
      <c r="F46" s="1" t="n">
        <v>81</v>
      </c>
      <c r="G46" s="1" t="n">
        <v>59</v>
      </c>
      <c r="H46" s="1" t="n">
        <v>93</v>
      </c>
      <c r="I46" s="1" t="n">
        <v>75</v>
      </c>
      <c r="J46" s="1" t="n"/>
      <c r="K46" s="1">
        <f>SUM(F46:J46)</f>
        <v/>
      </c>
      <c r="L46" s="1">
        <f>AVERAGE(F46:J46)</f>
        <v/>
      </c>
      <c r="M46" s="1">
        <f>RANK(K46,$K$3:$K$63,0)</f>
        <v/>
      </c>
    </row>
    <row r="47">
      <c r="B47" s="1" t="inlineStr">
        <is>
          <t xml:space="preserve">1.       </t>
        </is>
      </c>
      <c r="C47" s="4" t="inlineStr">
        <is>
          <t xml:space="preserve">የታሪክ ዓለም </t>
        </is>
      </c>
      <c r="D47" s="1" t="n"/>
      <c r="E47" s="1" t="n"/>
      <c r="F47" s="1" t="n">
        <v>94</v>
      </c>
      <c r="G47" s="1" t="n">
        <v>87</v>
      </c>
      <c r="H47" s="1" t="n">
        <v>88</v>
      </c>
      <c r="I47" s="1" t="n">
        <v>88</v>
      </c>
      <c r="J47" s="1" t="n">
        <v>79</v>
      </c>
      <c r="K47" s="1">
        <f>SUM(F47:J47)</f>
        <v/>
      </c>
      <c r="L47" s="1">
        <f>AVERAGE(F47:J47)</f>
        <v/>
      </c>
      <c r="M47" s="1">
        <f>RANK(K47,$K$3:$K$63,0)</f>
        <v/>
      </c>
    </row>
    <row r="48">
      <c r="B48" s="1" t="inlineStr">
        <is>
          <t xml:space="preserve">2.      </t>
        </is>
      </c>
      <c r="C48" s="4" t="inlineStr">
        <is>
          <t>ኑኃሚን ጸጋዬ</t>
        </is>
      </c>
      <c r="D48" s="1" t="n"/>
      <c r="E48" s="1" t="n"/>
      <c r="F48" s="1" t="n">
        <v>94</v>
      </c>
      <c r="G48" s="1" t="n"/>
      <c r="H48" s="1" t="n"/>
      <c r="I48" s="1" t="n"/>
      <c r="J48" s="1" t="n"/>
      <c r="K48" s="1">
        <f>SUM(F48:J48)</f>
        <v/>
      </c>
      <c r="L48" s="1">
        <f>AVERAGE(F48:J48)</f>
        <v/>
      </c>
      <c r="M48" s="1">
        <f>RANK(K48,$K$3:$K$63,0)</f>
        <v/>
      </c>
    </row>
    <row r="49">
      <c r="B49" s="1" t="inlineStr">
        <is>
          <t xml:space="preserve">3.      </t>
        </is>
      </c>
      <c r="C49" s="4" t="inlineStr">
        <is>
          <t xml:space="preserve">ሔመን ሙሉጌታ </t>
        </is>
      </c>
      <c r="D49" s="1" t="n"/>
      <c r="E49" s="1" t="n"/>
      <c r="F49" s="1" t="n">
        <v>87</v>
      </c>
      <c r="G49" s="1" t="n">
        <v>61</v>
      </c>
      <c r="H49" s="1" t="n">
        <v>101</v>
      </c>
      <c r="I49" s="1" t="n">
        <v>40</v>
      </c>
      <c r="J49" s="1" t="n">
        <v>73</v>
      </c>
      <c r="K49" s="1">
        <f>SUM(F49:J49)</f>
        <v/>
      </c>
      <c r="L49" s="1">
        <f>AVERAGE(F49:J49)</f>
        <v/>
      </c>
      <c r="M49" s="1">
        <f>RANK(K49,$K$3:$K$63,0)</f>
        <v/>
      </c>
    </row>
    <row r="50">
      <c r="B50" s="1" t="inlineStr">
        <is>
          <t xml:space="preserve">4.      </t>
        </is>
      </c>
      <c r="C50" s="4" t="inlineStr">
        <is>
          <t xml:space="preserve">መክሊት ፈንታሁን </t>
        </is>
      </c>
      <c r="D50" s="1" t="n"/>
      <c r="E50" s="1" t="n"/>
      <c r="F50" s="1" t="n">
        <v>89</v>
      </c>
      <c r="G50" s="1" t="n"/>
      <c r="H50" s="1" t="n">
        <v>67</v>
      </c>
      <c r="I50" s="1" t="n"/>
      <c r="J50" s="1" t="n"/>
      <c r="K50" s="1">
        <f>SUM(F50:J50)</f>
        <v/>
      </c>
      <c r="L50" s="1">
        <f>AVERAGE(F50:J50)</f>
        <v/>
      </c>
      <c r="M50" s="1">
        <f>RANK(K50,$K$3:$K$63,0)</f>
        <v/>
      </c>
    </row>
    <row r="51">
      <c r="B51" s="1" t="inlineStr">
        <is>
          <t xml:space="preserve">1.       </t>
        </is>
      </c>
      <c r="C51" s="4" t="inlineStr">
        <is>
          <t>ጽጌ አስተራዬ</t>
        </is>
      </c>
      <c r="D51" s="1" t="n"/>
      <c r="E51" s="1" t="n"/>
      <c r="F51" s="1" t="n">
        <v>74</v>
      </c>
      <c r="G51" s="1" t="n">
        <v>83</v>
      </c>
      <c r="H51" s="1" t="n">
        <v>94</v>
      </c>
      <c r="I51" s="1" t="n"/>
      <c r="J51" s="1" t="n">
        <v>67</v>
      </c>
      <c r="K51" s="1">
        <f>SUM(F51:J51)</f>
        <v/>
      </c>
      <c r="L51" s="1">
        <f>AVERAGE(F51:J51)</f>
        <v/>
      </c>
      <c r="M51" s="1">
        <f>RANK(K51,$K$3:$K$63,0)</f>
        <v/>
      </c>
    </row>
    <row r="52">
      <c r="B52" s="1" t="inlineStr">
        <is>
          <t xml:space="preserve">2.      </t>
        </is>
      </c>
      <c r="C52" s="4" t="inlineStr">
        <is>
          <t>ዮሐንስ ሐዋዝ</t>
        </is>
      </c>
      <c r="D52" s="1" t="n"/>
      <c r="E52" s="1" t="n"/>
      <c r="F52" s="1" t="n"/>
      <c r="G52" s="1" t="n">
        <v>91</v>
      </c>
      <c r="H52" s="1" t="n"/>
      <c r="I52" s="1" t="n">
        <v>64</v>
      </c>
      <c r="J52" s="1" t="n">
        <v>74</v>
      </c>
      <c r="K52" s="1">
        <f>SUM(F52:J52)</f>
        <v/>
      </c>
      <c r="L52" s="1">
        <f>AVERAGE(F52:J52)</f>
        <v/>
      </c>
      <c r="M52" s="1">
        <f>RANK(K52,$K$3:$K$63,0)</f>
        <v/>
      </c>
    </row>
    <row r="53">
      <c r="B53" s="1" t="inlineStr">
        <is>
          <t xml:space="preserve">3.      </t>
        </is>
      </c>
      <c r="C53" s="4" t="inlineStr">
        <is>
          <t>እዝራ እሱእንዳለው</t>
        </is>
      </c>
      <c r="D53" s="1" t="n"/>
      <c r="E53" s="1" t="n"/>
      <c r="F53" s="1" t="n"/>
      <c r="G53" s="1" t="n">
        <v>62</v>
      </c>
      <c r="H53" s="1" t="n"/>
      <c r="I53" s="1" t="n">
        <v>21</v>
      </c>
      <c r="J53" s="1" t="n">
        <v>20</v>
      </c>
      <c r="K53" s="1">
        <f>SUM(F53:J53)</f>
        <v/>
      </c>
      <c r="L53" s="1">
        <f>AVERAGE(F53:J53)</f>
        <v/>
      </c>
      <c r="M53" s="1">
        <f>RANK(K53,$K$3:$K$63,0)</f>
        <v/>
      </c>
    </row>
    <row r="54">
      <c r="B54" s="1" t="inlineStr">
        <is>
          <t xml:space="preserve">4.      </t>
        </is>
      </c>
      <c r="C54" s="4" t="inlineStr">
        <is>
          <t>ህይወት ግርማ</t>
        </is>
      </c>
      <c r="D54" s="1" t="n"/>
      <c r="E54" s="1" t="n"/>
      <c r="F54" s="1" t="n"/>
      <c r="G54" s="1" t="n">
        <v>88</v>
      </c>
      <c r="H54" s="1" t="n">
        <v>99</v>
      </c>
      <c r="I54" s="1" t="n">
        <v>71</v>
      </c>
      <c r="J54" s="1" t="n">
        <v>95</v>
      </c>
      <c r="K54" s="1">
        <f>SUM(F54:J54)</f>
        <v/>
      </c>
      <c r="L54" s="1">
        <f>AVERAGE(F54:J54)</f>
        <v/>
      </c>
      <c r="M54" s="1">
        <f>RANK(K54,$K$3:$K$63,0)</f>
        <v/>
      </c>
    </row>
    <row r="55">
      <c r="B55" s="1" t="inlineStr">
        <is>
          <t xml:space="preserve">1.       </t>
        </is>
      </c>
      <c r="C55" s="4" t="inlineStr">
        <is>
          <t>የአብስራ እንዳለ</t>
        </is>
      </c>
      <c r="D55" s="1" t="n"/>
      <c r="E55" s="1" t="n"/>
      <c r="F55" s="1" t="n"/>
      <c r="G55" s="1" t="n">
        <v>62</v>
      </c>
      <c r="H55" s="1" t="n"/>
      <c r="I55" s="1" t="n"/>
      <c r="J55" s="1" t="n"/>
      <c r="K55" s="1">
        <f>SUM(F55:J55)</f>
        <v/>
      </c>
      <c r="L55" s="1">
        <f>AVERAGE(F55:J55)</f>
        <v/>
      </c>
      <c r="M55" s="1">
        <f>RANK(K55,$K$3:$K$63,0)</f>
        <v/>
      </c>
    </row>
    <row r="56">
      <c r="B56" s="1" t="inlineStr">
        <is>
          <t xml:space="preserve">2.      </t>
        </is>
      </c>
      <c r="C56" s="5" t="inlineStr">
        <is>
          <t>አርሴማ  ደፋሩ !!!</t>
        </is>
      </c>
      <c r="D56" s="1" t="n"/>
      <c r="E56" s="1" t="n"/>
      <c r="F56" s="1" t="n"/>
      <c r="G56" s="1" t="n">
        <v>73</v>
      </c>
      <c r="H56" s="1" t="n"/>
      <c r="I56" s="1" t="n">
        <v>67</v>
      </c>
      <c r="J56" s="1" t="n">
        <v>67</v>
      </c>
      <c r="K56" s="1">
        <f>SUM(F56:J56)</f>
        <v/>
      </c>
      <c r="L56" s="1">
        <f>AVERAGE(F56:J56)</f>
        <v/>
      </c>
      <c r="M56" s="1">
        <f>RANK(K56,$K$3:$K$63,0)</f>
        <v/>
      </c>
    </row>
    <row r="57">
      <c r="B57" s="1" t="inlineStr">
        <is>
          <t xml:space="preserve">3.      </t>
        </is>
      </c>
      <c r="C57" s="4" t="inlineStr">
        <is>
          <t>ዮራታ አዲሱ</t>
        </is>
      </c>
      <c r="D57" s="1" t="n"/>
      <c r="E57" s="1" t="n"/>
      <c r="F57" s="1" t="n"/>
      <c r="G57" s="1" t="n">
        <v>18</v>
      </c>
      <c r="H57" s="1" t="n"/>
      <c r="I57" s="1" t="n"/>
      <c r="J57" s="1" t="n"/>
      <c r="K57" s="1">
        <f>SUM(F57:J57)</f>
        <v/>
      </c>
      <c r="L57" s="1">
        <f>AVERAGE(F57:J57)</f>
        <v/>
      </c>
      <c r="M57" s="1">
        <f>RANK(K57,$K$3:$K$63,0)</f>
        <v/>
      </c>
    </row>
    <row r="58">
      <c r="B58" s="1" t="inlineStr">
        <is>
          <t xml:space="preserve">4.      </t>
        </is>
      </c>
      <c r="C58" s="4" t="inlineStr">
        <is>
          <t>ኪዳን አለማ</t>
        </is>
      </c>
      <c r="D58" s="1" t="n"/>
      <c r="E58" s="1" t="n"/>
      <c r="F58" s="1" t="n"/>
      <c r="G58" s="1" t="n">
        <v>27</v>
      </c>
      <c r="H58" s="1" t="n"/>
      <c r="I58" s="1" t="n"/>
      <c r="J58" s="1" t="n"/>
      <c r="K58" s="1">
        <f>SUM(F58:J58)</f>
        <v/>
      </c>
      <c r="L58" s="1">
        <f>AVERAGE(F58:J58)</f>
        <v/>
      </c>
      <c r="M58" s="1">
        <f>RANK(K58,$K$3:$K$63,0)</f>
        <v/>
      </c>
    </row>
    <row r="59">
      <c r="B59" s="1" t="inlineStr">
        <is>
          <t xml:space="preserve">1.       </t>
        </is>
      </c>
      <c r="C59" s="4" t="inlineStr">
        <is>
          <t xml:space="preserve">መክሊት ዘመድነህ </t>
        </is>
      </c>
      <c r="D59" s="1" t="n"/>
      <c r="E59" s="1" t="n"/>
      <c r="F59" s="1" t="n"/>
      <c r="G59" s="1" t="n"/>
      <c r="H59" s="1" t="n">
        <v>67</v>
      </c>
      <c r="I59" s="1" t="n"/>
      <c r="J59" s="1" t="n"/>
      <c r="K59" s="1">
        <f>SUM(F59:J59)</f>
        <v/>
      </c>
      <c r="L59" s="1">
        <f>AVERAGE(F59:J59)</f>
        <v/>
      </c>
      <c r="M59" s="1">
        <f>RANK(K59,$K$3:$K$63,0)</f>
        <v/>
      </c>
    </row>
    <row r="60">
      <c r="B60" s="1" t="inlineStr">
        <is>
          <t xml:space="preserve">2.      </t>
        </is>
      </c>
      <c r="C60" s="4" t="inlineStr">
        <is>
          <t xml:space="preserve">ሳሙኤል ጌታቸው </t>
        </is>
      </c>
      <c r="D60" s="1" t="n"/>
      <c r="E60" s="1" t="n"/>
      <c r="F60" s="1" t="n"/>
      <c r="G60" s="1" t="n"/>
      <c r="H60" s="1" t="n">
        <v>13</v>
      </c>
      <c r="I60" s="1" t="n"/>
      <c r="J60" s="1" t="n"/>
      <c r="K60" s="1">
        <f>SUM(F60:J60)</f>
        <v/>
      </c>
      <c r="L60" s="1">
        <f>AVERAGE(F60:J60)</f>
        <v/>
      </c>
      <c r="M60" s="1">
        <f>RANK(K60,$K$3:$K$63,0)</f>
        <v/>
      </c>
    </row>
    <row r="61">
      <c r="B61" s="1" t="inlineStr">
        <is>
          <t xml:space="preserve">3.      </t>
        </is>
      </c>
      <c r="C61" s="4" t="inlineStr">
        <is>
          <t>መክሊት አበበ</t>
        </is>
      </c>
      <c r="D61" s="1" t="n"/>
      <c r="E61" s="1" t="n"/>
      <c r="F61" s="1" t="n"/>
      <c r="G61" s="1" t="n"/>
      <c r="H61" s="1" t="n">
        <v>97</v>
      </c>
      <c r="I61" s="1" t="n"/>
      <c r="J61" s="1" t="n"/>
      <c r="K61" s="1">
        <f>SUM(F61:J61)</f>
        <v/>
      </c>
      <c r="L61" s="1">
        <f>AVERAGE(F61:J61)</f>
        <v/>
      </c>
      <c r="M61" s="1">
        <f>RANK(K61,$K$3:$K$63,0)</f>
        <v/>
      </c>
    </row>
    <row r="62">
      <c r="B62" s="1" t="inlineStr">
        <is>
          <t xml:space="preserve">4.      </t>
        </is>
      </c>
      <c r="C62" s="4" t="inlineStr">
        <is>
          <t xml:space="preserve">አሜን ፍትሀነገስት </t>
        </is>
      </c>
      <c r="D62" s="1" t="n"/>
      <c r="E62" s="1" t="n"/>
      <c r="F62" s="1" t="n"/>
      <c r="G62" s="1" t="n"/>
      <c r="H62" s="1" t="n">
        <v>67</v>
      </c>
      <c r="I62" s="1" t="n"/>
      <c r="J62" s="1" t="n"/>
      <c r="K62" s="1">
        <f>SUM(F62:J62)</f>
        <v/>
      </c>
      <c r="L62" s="1">
        <f>AVERAGE(F62:J62)</f>
        <v/>
      </c>
      <c r="M62" s="1">
        <f>RANK(K62,$K$3:$K$63,0)</f>
        <v/>
      </c>
    </row>
    <row r="63">
      <c r="B63" s="1" t="inlineStr">
        <is>
          <t xml:space="preserve">1.       </t>
        </is>
      </c>
      <c r="C63" s="4" t="inlineStr">
        <is>
          <t>ጽጌሬዳ አሸናፊ</t>
        </is>
      </c>
      <c r="D63" s="1" t="n"/>
      <c r="E63" s="1" t="n"/>
      <c r="F63" s="1" t="n"/>
      <c r="G63" s="1" t="n"/>
      <c r="H63" s="1" t="n"/>
      <c r="I63" s="1" t="n">
        <v>66</v>
      </c>
      <c r="J63" s="1" t="n"/>
      <c r="K63" s="1">
        <f>SUM(F63:J63)</f>
        <v/>
      </c>
      <c r="L63" s="1">
        <f>AVERAGE(F63:J63)</f>
        <v/>
      </c>
      <c r="M63" s="1">
        <f>RANK(K63,$K$3:$K$63,0)</f>
        <v/>
      </c>
    </row>
    <row r="64">
      <c r="B64" s="1" t="n"/>
      <c r="C64" s="4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B65" s="1" t="inlineStr">
        <is>
          <t xml:space="preserve">23.    </t>
        </is>
      </c>
      <c r="C65" s="4" t="inlineStr">
        <is>
          <t xml:space="preserve">ሊያ እዮብ 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B66" s="1" t="inlineStr">
        <is>
          <t xml:space="preserve">24.    </t>
        </is>
      </c>
      <c r="C66" s="4" t="inlineStr">
        <is>
          <t xml:space="preserve">ያፌት አይናዲስ </t>
        </is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B67" s="1" t="inlineStr">
        <is>
          <t xml:space="preserve">1.       </t>
        </is>
      </c>
      <c r="C67" s="4" t="inlineStr">
        <is>
          <t xml:space="preserve">ሔማን አይናዲስ 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B68" s="1" t="inlineStr">
        <is>
          <t xml:space="preserve">5.      </t>
        </is>
      </c>
      <c r="C68" s="4" t="inlineStr">
        <is>
          <t xml:space="preserve">ሶልያና ከበደ 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B69" s="1" t="inlineStr">
        <is>
          <t xml:space="preserve">15.     </t>
        </is>
      </c>
      <c r="C69" s="4" t="inlineStr">
        <is>
          <t>አቤኔዘር ፈቃዱ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B70" s="1" t="inlineStr">
        <is>
          <t xml:space="preserve">20.    </t>
        </is>
      </c>
      <c r="C70" s="4" t="inlineStr">
        <is>
          <t xml:space="preserve">ወንጌል በሸዋ 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B71" s="1" t="inlineStr">
        <is>
          <t xml:space="preserve">22.    </t>
        </is>
      </c>
      <c r="C71" s="4" t="inlineStr">
        <is>
          <t xml:space="preserve">ማራማዊት ሙሉጌታ 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B72" s="1" t="inlineStr">
        <is>
          <t xml:space="preserve">3.      </t>
        </is>
      </c>
      <c r="C72" s="4" t="inlineStr">
        <is>
          <t>በጸሎት ሙላቱ</t>
        </is>
      </c>
      <c r="D72" s="1" t="n"/>
      <c r="E72" s="1" t="n"/>
      <c r="F72" s="1" t="n"/>
      <c r="G72" s="1" t="n"/>
      <c r="H72" s="1" t="n"/>
      <c r="J72" s="1" t="n"/>
      <c r="K72" s="1" t="n"/>
      <c r="L72" s="1" t="n"/>
      <c r="M72" s="1" t="n"/>
    </row>
    <row r="73">
      <c r="B73" s="1" t="inlineStr">
        <is>
          <t xml:space="preserve">1.       </t>
        </is>
      </c>
      <c r="C73" s="4" t="inlineStr">
        <is>
          <t xml:space="preserve">ምህረት ታምራት </t>
        </is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B74" s="1" t="inlineStr">
        <is>
          <t xml:space="preserve">4.      </t>
        </is>
      </c>
      <c r="C74" s="4" t="inlineStr">
        <is>
          <t xml:space="preserve">ዘሩባቤል ጥበብ 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B75" s="1" t="inlineStr">
        <is>
          <t xml:space="preserve">3.      </t>
        </is>
      </c>
      <c r="C75" s="4" t="inlineStr">
        <is>
          <t xml:space="preserve">ሳምራዊት ተክሎም </t>
        </is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B76" s="1" t="inlineStr">
        <is>
          <t xml:space="preserve">1.       </t>
        </is>
      </c>
      <c r="C76" s="4" t="inlineStr">
        <is>
          <t xml:space="preserve">አማኑኤል ዘካርያስ 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B77" s="1" t="inlineStr">
        <is>
          <t xml:space="preserve">3.      </t>
        </is>
      </c>
      <c r="C77" s="4" t="inlineStr">
        <is>
          <t xml:space="preserve">መቅደስ አያሌው 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B78" s="1" t="inlineStr">
        <is>
          <t xml:space="preserve">4.      </t>
        </is>
      </c>
      <c r="C78" s="4" t="inlineStr">
        <is>
          <t>ቢታንያ ዓለሙ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B79" s="1" t="inlineStr">
        <is>
          <t xml:space="preserve">1.       </t>
        </is>
      </c>
      <c r="C79" s="4" t="inlineStr">
        <is>
          <t>ማታን ደረጄ</t>
        </is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B80" s="1" t="inlineStr">
        <is>
          <t xml:space="preserve">2.      </t>
        </is>
      </c>
      <c r="C80" s="4" t="inlineStr">
        <is>
          <t xml:space="preserve">አዶናይ እስራኤል </t>
        </is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B81" s="1" t="inlineStr">
        <is>
          <t xml:space="preserve">3.      </t>
        </is>
      </c>
      <c r="C81" s="4" t="inlineStr">
        <is>
          <t xml:space="preserve">ኪሩቤል አሸናፊ </t>
        </is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B82" s="1" t="inlineStr">
        <is>
          <t xml:space="preserve">4.      </t>
        </is>
      </c>
      <c r="C82" s="4" t="inlineStr">
        <is>
          <t xml:space="preserve">አሜን ፋሲካ </t>
        </is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B83" s="1" t="inlineStr">
        <is>
          <t xml:space="preserve">4.      </t>
        </is>
      </c>
      <c r="C83" s="4" t="inlineStr">
        <is>
          <t>በረከት ገበየሁ</t>
        </is>
      </c>
      <c r="D83" s="1" t="n"/>
      <c r="E83" s="1" t="n"/>
      <c r="F83" s="1" t="n"/>
      <c r="H83" s="1" t="n"/>
      <c r="I83" s="1" t="n"/>
      <c r="J83" s="1" t="n"/>
      <c r="K83" s="1" t="n"/>
      <c r="L83" s="1" t="n"/>
      <c r="M83" s="1" t="n"/>
    </row>
  </sheetData>
  <mergeCells count="1">
    <mergeCell ref="F1:J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Tesfa</dc:creator>
  <dcterms:created xmlns:dcterms="http://purl.org/dc/terms/" xmlns:xsi="http://www.w3.org/2001/XMLSchema-instance" xsi:type="dcterms:W3CDTF">2026-08-24T08:37:00Z</dcterms:created>
  <dcterms:modified xmlns:dcterms="http://purl.org/dc/terms/" xmlns:xsi="http://www.w3.org/2001/XMLSchema-instance" xsi:type="dcterms:W3CDTF">2026-08-25T01:13:47Z</dcterms:modified>
  <cp:lastModifiedBy>Tesfa</cp:lastModifiedBy>
</cp:coreProperties>
</file>